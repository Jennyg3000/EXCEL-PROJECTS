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222" documentId="13_ncr:1_{C33271F6-7B2F-45C8-B23D-24BE88135F3D}" xr6:coauthVersionLast="47" xr6:coauthVersionMax="47" xr10:uidLastSave="{2DCFA5B5-16C7-4099-9B76-59D977CCDD7D}"/>
  <bookViews>
    <workbookView xWindow="-28920" yWindow="-1530" windowWidth="29040" windowHeight="16440" xr2:uid="{00000000-000D-0000-FFFF-FFFF00000000}"/>
  </bookViews>
  <sheets>
    <sheet name="Bake Sale Pivot Table" sheetId="2" r:id="rId1"/>
    <sheet name="Sale Product" sheetId="3" r:id="rId2"/>
    <sheet name="Bike Sales" sheetId="1" r:id="rId3"/>
  </sheets>
  <definedNames>
    <definedName name="_xlnm._FilterDatabase" localSheetId="2" hidden="1">'Bike Sales'!$A$1:$S$89</definedName>
  </definedNames>
  <calcPr calcId="191028"/>
  <pivotCaches>
    <pivotCache cacheId="236" r:id="rId4"/>
    <pivotCache cacheId="23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 a="1"/>
  <c r="D2" i="3"/>
  <c r="D3" i="3" a="1"/>
  <c r="D3" i="3"/>
  <c r="D4" i="3" a="1"/>
  <c r="D4" i="3"/>
  <c r="D5" i="3" a="1"/>
  <c r="D5" i="3"/>
  <c r="D6" i="3" a="1"/>
  <c r="D6" i="3"/>
  <c r="D7" i="3" a="1"/>
  <c r="D7" i="3"/>
  <c r="D8" i="3" a="1"/>
  <c r="D8" i="3"/>
  <c r="D9" i="3" a="1"/>
  <c r="D9" i="3"/>
  <c r="D10" i="3" a="1"/>
  <c r="D10" i="3"/>
  <c r="D11" i="3" a="1"/>
  <c r="D11" i="3"/>
  <c r="D12" i="3" a="1"/>
  <c r="D12" i="3"/>
  <c r="D13" i="3" a="1"/>
  <c r="D13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<sst xmlns="http://schemas.openxmlformats.org/spreadsheetml/2006/main" count="877" uniqueCount="177">
  <si>
    <t xml:space="preserve">Sum of  Profit 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</si>
  <si>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</si>
  <si>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</si>
  <si>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</si>
  <si>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</si>
  <si>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</si>
  <si>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</si>
  <si>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</si>
  <si>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</si>
  <si>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</si>
  <si>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</si>
  <si>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</si>
  <si>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</si>
  <si>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</si>
  <si>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</si>
  <si>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</si>
  <si>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</si>
  <si>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</si>
  <si>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</si>
  <si>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</si>
  <si>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</si>
  <si>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rPr>
        <b/>
        <sz val="12"/>
        <color rgb="FF000000"/>
        <rFont val="Segoe UI"/>
      </rPr>
      <t>Sales Volume</t>
    </r>
    <r>
      <rPr>
        <sz val="12"/>
        <color rgb="FF000000"/>
        <rFont val="Segoe UI"/>
      </rPr>
      <t> </t>
    </r>
  </si>
  <si>
    <t>Switch</t>
  </si>
  <si>
    <t>Sum of Sales Volume </t>
  </si>
  <si>
    <t>Product </t>
  </si>
  <si>
    <t>Yorkshire </t>
  </si>
  <si>
    <t>Laptops </t>
  </si>
  <si>
    <t>County </t>
  </si>
  <si>
    <t>Printers </t>
  </si>
  <si>
    <t>Smartphones </t>
  </si>
  <si>
    <t>Cornwall </t>
  </si>
  <si>
    <t>Durham </t>
  </si>
  <si>
    <t>Essex </t>
  </si>
  <si>
    <t>Lancashire </t>
  </si>
  <si>
    <t>Greater Manchester 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</si>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</sst>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Segoe UI"/>
      <charset val="1"/>
    </font>
    <font>
      <b/>
      <sz val="12"/>
      <name val="Segoe UI"/>
      <charset val="1"/>
    </font>
    <font>
      <b/>
      <sz val="12"/>
      <color rgb="FF000000"/>
      <name val="Segoe UI"/>
    </font>
    <font>
      <sz val="12"/>
      <color rgb="FF000000"/>
      <name val="Segoe UI"/>
    </font>
    <font>
      <sz val="12"/>
      <color theme="1"/>
      <name val="Segoe U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pivotButton="1"/>
    <xf numFmtId="10" fontId="0" fillId="0" borderId="0" xfId="0" applyNumberFormat="1" applyAlignment="1">
      <alignment horizontal="center"/>
    </xf>
    <xf numFmtId="0" fontId="22" fillId="0" borderId="0" xfId="0" applyFont="1" applyAlignment="1">
      <alignment wrapText="1" readingOrder="1"/>
    </xf>
    <xf numFmtId="0" fontId="21" fillId="0" borderId="0" xfId="0" applyFont="1" applyAlignment="1">
      <alignment wrapText="1" readingOrder="1"/>
    </xf>
    <xf numFmtId="1" fontId="21" fillId="0" borderId="0" xfId="0" applyNumberFormat="1" applyFont="1" applyAlignment="1">
      <alignment wrapText="1" readingOrder="1"/>
    </xf>
    <xf numFmtId="1" fontId="21" fillId="0" borderId="10" xfId="0" applyNumberFormat="1" applyFont="1" applyBorder="1" applyAlignment="1">
      <alignment wrapText="1" readingOrder="1"/>
    </xf>
    <xf numFmtId="0" fontId="21" fillId="0" borderId="10" xfId="0" applyFont="1" applyBorder="1" applyAlignment="1">
      <alignment wrapText="1" readingOrder="1"/>
    </xf>
    <xf numFmtId="0" fontId="23" fillId="0" borderId="0" xfId="0" applyFont="1" applyAlignment="1">
      <alignment wrapText="1" readingOrder="1"/>
    </xf>
    <xf numFmtId="0" fontId="23" fillId="0" borderId="11" xfId="0" applyFont="1" applyBorder="1"/>
    <xf numFmtId="0" fontId="25" fillId="0" borderId="11" xfId="0" applyFont="1" applyBorder="1"/>
    <xf numFmtId="0" fontId="25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Copy.xlsx]Bake Sale 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Profitable Markets by Country, Age Group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'Bake Sale Pivot Table'!$C$4:$C$5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'Bake Sale Pivot Table'!$A$6:$B$15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'Bake Sale Pivot Table'!$C$6:$C$15</c:f>
              <c:numCache>
                <c:formatCode>0.00%</c:formatCode>
                <c:ptCount val="6"/>
                <c:pt idx="0">
                  <c:v>1.385253320938425E-2</c:v>
                </c:pt>
                <c:pt idx="1">
                  <c:v>2.9967952638403012E-3</c:v>
                </c:pt>
                <c:pt idx="2">
                  <c:v>9.9102184602588253E-2</c:v>
                </c:pt>
                <c:pt idx="3">
                  <c:v>1.4892237688675784E-2</c:v>
                </c:pt>
                <c:pt idx="4">
                  <c:v>8.1194803923967024E-2</c:v>
                </c:pt>
                <c:pt idx="5">
                  <c:v>9.5750666634048492E-2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2-48EF-9FB0-DCAEFF553ACC}"/>
            </c:ext>
          </c:extLst>
        </c:ser>
        <c:ser>
          <c:idx val="1"/>
          <c:order val="1"/>
          <c:tx>
            <c:strRef>
              <c:f>'Bake Sale Pivot Table'!$D$4:$D$5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'Bake Sale Pivot Table'!$A$6:$B$15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'Bake Sale Pivot Table'!$D$6:$D$15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3.8542456638207302E-2</c:v>
                </c:pt>
                <c:pt idx="3">
                  <c:v>1.7252978447537735E-2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F2-48EF-9FB0-DCAEFF553ACC}"/>
            </c:ext>
          </c:extLst>
        </c:ser>
        <c:ser>
          <c:idx val="2"/>
          <c:order val="2"/>
          <c:tx>
            <c:strRef>
              <c:f>'Bake Sale Pivot Table'!$E$4:$E$5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'Bake Sale Pivot Table'!$A$6:$B$15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'Bake Sale Pivot Table'!$E$6:$E$15</c:f>
              <c:numCache>
                <c:formatCode>0.00%</c:formatCode>
                <c:ptCount val="6"/>
                <c:pt idx="0">
                  <c:v>3.8475181642488442E-2</c:v>
                </c:pt>
                <c:pt idx="1">
                  <c:v>2.5784671086430021E-2</c:v>
                </c:pt>
                <c:pt idx="2">
                  <c:v>6.4461677716075054E-3</c:v>
                </c:pt>
                <c:pt idx="3">
                  <c:v>5.7611859970154368E-2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F2-48EF-9FB0-DCAEFF553ACC}"/>
            </c:ext>
          </c:extLst>
        </c:ser>
        <c:ser>
          <c:idx val="3"/>
          <c:order val="3"/>
          <c:tx>
            <c:strRef>
              <c:f>'Bake Sale Pivot Table'!$F$4:$F$5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'Bake Sale Pivot Table'!$A$6:$B$15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'Bake Sale Pivot Table'!$F$6:$F$15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5.1434792181422315E-2</c:v>
                </c:pt>
                <c:pt idx="5">
                  <c:v>3.1961738875162071E-2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F2-48EF-9FB0-DCAEFF553ACC}"/>
            </c:ext>
          </c:extLst>
        </c:ser>
        <c:ser>
          <c:idx val="4"/>
          <c:order val="4"/>
          <c:tx>
            <c:strRef>
              <c:f>'Bake Sale Pivot Table'!$G$4:$G$5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'Bake Sale Pivot Table'!$A$6:$B$15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'Bake Sale Pivot Table'!$G$6:$G$15</c:f>
              <c:numCache>
                <c:formatCode>0.00%</c:formatCode>
                <c:ptCount val="6"/>
                <c:pt idx="0">
                  <c:v>6.3788927758886413E-3</c:v>
                </c:pt>
                <c:pt idx="1">
                  <c:v>1.0672260684492502E-2</c:v>
                </c:pt>
                <c:pt idx="2">
                  <c:v>6.4033564106955008E-3</c:v>
                </c:pt>
                <c:pt idx="3">
                  <c:v>6.3788927758886413E-3</c:v>
                </c:pt>
                <c:pt idx="4">
                  <c:v>6.3788927758886413E-3</c:v>
                </c:pt>
                <c:pt idx="5">
                  <c:v>1.9271228319103651E-2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F2-48EF-9FB0-DCAEFF553ACC}"/>
            </c:ext>
          </c:extLst>
        </c:ser>
        <c:ser>
          <c:idx val="5"/>
          <c:order val="5"/>
          <c:tx>
            <c:strRef>
              <c:f>'Bake Sale Pivot Table'!$H$4:$H$5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'Bake Sale Pivot Table'!$A$6:$B$15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'Bake Sale Pivot Table'!$H$6:$H$15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6.6981432101181598E-2</c:v>
                </c:pt>
                <c:pt idx="3">
                  <c:v>1.6415098955402795E-2</c:v>
                </c:pt>
                <c:pt idx="4">
                  <c:v>0.18137338845805709</c:v>
                </c:pt>
                <c:pt idx="5">
                  <c:v>0.10444748880788708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F2-48EF-9FB0-DCAEFF553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355399"/>
        <c:axId val="175357959"/>
      </c:barChart>
      <c:catAx>
        <c:axId val="175355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7959"/>
        <c:crosses val="autoZero"/>
        <c:auto val="1"/>
        <c:lblAlgn val="ctr"/>
        <c:lblOffset val="100"/>
        <c:noMultiLvlLbl val="0"/>
      </c:catAx>
      <c:valAx>
        <c:axId val="17535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5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171450</xdr:rowOff>
    </xdr:from>
    <xdr:to>
      <xdr:col>6</xdr:col>
      <xdr:colOff>542925</xdr:colOff>
      <xdr:row>32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C596B-5E1D-25A6-3B0A-CC9F673A6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826562847222" createdVersion="8" refreshedVersion="8" minRefreshableVersion="3" recordCount="88" xr:uid="{544F9327-E1EB-4DD5-9BF9-90AF0CF5216A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855777083336" createdVersion="8" refreshedVersion="8" minRefreshableVersion="3" recordCount="12" xr:uid="{2FB3C57C-4AD7-480B-844E-F6ED5D9109F1}">
  <cacheSource type="worksheet">
    <worksheetSource ref="A1:C13" sheet="Sale Product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0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65F84-EAA9-4199-985C-2153B9B9CE22}" name="PivotTable1" cacheId="23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4:I15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Profit " fld="16" showDataAs="percentOfTotal" baseField="0" baseItem="0" numFmtId="10"/>
  </dataFields>
  <formats count="11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8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6" type="button" dataOnly="0" labelOnly="1" outline="0" axis="axisRow" fieldPosition="0"/>
    </format>
    <format dxfId="6">
      <pivotArea dataOnly="0" labelOnly="1" outline="0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8" count="0"/>
        </references>
      </pivotArea>
    </format>
    <format dxfId="9">
      <pivotArea dataOnly="0" labelOnly="1" grandCol="1" outline="0" fieldPosition="0"/>
    </format>
    <format dxfId="10">
      <pivotArea outline="0" collapsedLevelsAreSubtotals="1" fieldPosition="0"/>
    </format>
  </formats>
  <chartFormats count="6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53968-FD47-416E-9173-0A6D9A800865}" name="PivotTable4" cacheId="23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G1:K9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 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2639-33CD-4ABA-B569-718090E92716}">
  <dimension ref="A1:I15"/>
  <sheetViews>
    <sheetView tabSelected="1" topLeftCell="A21" workbookViewId="0">
      <selection activeCell="J18" sqref="J18"/>
    </sheetView>
  </sheetViews>
  <sheetFormatPr defaultRowHeight="15"/>
  <cols>
    <col min="1" max="1" width="22.42578125" bestFit="1" customWidth="1"/>
    <col min="2" max="2" width="23.7109375" bestFit="1" customWidth="1"/>
    <col min="3" max="3" width="14.28515625" bestFit="1" customWidth="1"/>
    <col min="4" max="4" width="7.7109375" bestFit="1" customWidth="1"/>
    <col min="5" max="5" width="7.5703125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14" bestFit="1" customWidth="1"/>
    <col min="11" max="11" width="22.42578125" bestFit="1" customWidth="1"/>
    <col min="12" max="12" width="14" bestFit="1" customWidth="1"/>
    <col min="13" max="13" width="22.42578125" bestFit="1" customWidth="1"/>
    <col min="14" max="14" width="14" bestFit="1" customWidth="1"/>
    <col min="15" max="15" width="27.5703125" bestFit="1" customWidth="1"/>
    <col min="16" max="16" width="19.140625" bestFit="1" customWidth="1"/>
  </cols>
  <sheetData>
    <row r="1" spans="1:9">
      <c r="A1" s="9"/>
      <c r="B1" s="9"/>
      <c r="C1" s="9"/>
      <c r="D1" s="9"/>
      <c r="E1" s="9"/>
      <c r="F1" s="9"/>
      <c r="G1" s="9"/>
      <c r="H1" s="9"/>
    </row>
    <row r="2" spans="1:9">
      <c r="C2" s="9"/>
      <c r="D2" s="9"/>
      <c r="E2" s="9"/>
      <c r="F2" s="9"/>
      <c r="G2" s="9"/>
      <c r="H2" s="9"/>
    </row>
    <row r="3" spans="1:9">
      <c r="A3" s="9"/>
      <c r="B3" s="9"/>
      <c r="C3" s="9"/>
      <c r="D3" s="9"/>
      <c r="E3" s="9"/>
      <c r="F3" s="9"/>
      <c r="G3" s="9"/>
      <c r="H3" s="9"/>
    </row>
    <row r="4" spans="1:9">
      <c r="A4" s="10" t="s">
        <v>0</v>
      </c>
      <c r="B4" s="9"/>
      <c r="C4" s="10" t="s">
        <v>1</v>
      </c>
      <c r="D4" s="9"/>
      <c r="E4" s="9"/>
      <c r="F4" s="9"/>
      <c r="G4" s="9"/>
      <c r="H4" s="9"/>
      <c r="I4" s="9"/>
    </row>
    <row r="5" spans="1:9">
      <c r="A5" s="10" t="s">
        <v>2</v>
      </c>
      <c r="B5" s="10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</row>
    <row r="6" spans="1:9">
      <c r="A6" s="9" t="s">
        <v>11</v>
      </c>
      <c r="B6" s="9" t="s">
        <v>12</v>
      </c>
      <c r="C6" s="12">
        <v>1.385253320938425E-2</v>
      </c>
      <c r="D6" s="12">
        <v>0</v>
      </c>
      <c r="E6" s="12">
        <v>3.8475181642488442E-2</v>
      </c>
      <c r="F6" s="12">
        <v>0</v>
      </c>
      <c r="G6" s="12">
        <v>6.3788927758886413E-3</v>
      </c>
      <c r="H6" s="12">
        <v>0</v>
      </c>
      <c r="I6" s="12">
        <v>5.870660762776133E-2</v>
      </c>
    </row>
    <row r="7" spans="1:9">
      <c r="A7" s="9"/>
      <c r="B7" s="9" t="s">
        <v>13</v>
      </c>
      <c r="C7" s="12">
        <v>2.9967952638403012E-3</v>
      </c>
      <c r="D7" s="12">
        <v>0</v>
      </c>
      <c r="E7" s="12">
        <v>2.5784671086430021E-2</v>
      </c>
      <c r="F7" s="12">
        <v>0</v>
      </c>
      <c r="G7" s="12">
        <v>1.0672260684492502E-2</v>
      </c>
      <c r="H7" s="12">
        <v>0</v>
      </c>
      <c r="I7" s="12">
        <v>3.9453727034762825E-2</v>
      </c>
    </row>
    <row r="8" spans="1:9">
      <c r="A8" s="9" t="s">
        <v>14</v>
      </c>
      <c r="B8" s="9"/>
      <c r="C8" s="12">
        <v>1.684932847322455E-2</v>
      </c>
      <c r="D8" s="12">
        <v>0</v>
      </c>
      <c r="E8" s="12">
        <v>6.425985272891846E-2</v>
      </c>
      <c r="F8" s="12">
        <v>0</v>
      </c>
      <c r="G8" s="12">
        <v>1.7051153460381142E-2</v>
      </c>
      <c r="H8" s="12">
        <v>0</v>
      </c>
      <c r="I8" s="12">
        <v>9.8160334662524162E-2</v>
      </c>
    </row>
    <row r="9" spans="1:9">
      <c r="A9" s="9" t="s">
        <v>15</v>
      </c>
      <c r="B9" s="9" t="s">
        <v>12</v>
      </c>
      <c r="C9" s="12">
        <v>9.9102184602588253E-2</v>
      </c>
      <c r="D9" s="12">
        <v>3.8542456638207302E-2</v>
      </c>
      <c r="E9" s="12">
        <v>6.4461677716075054E-3</v>
      </c>
      <c r="F9" s="12">
        <v>0</v>
      </c>
      <c r="G9" s="12">
        <v>6.4033564106955008E-3</v>
      </c>
      <c r="H9" s="12">
        <v>6.6981432101181598E-2</v>
      </c>
      <c r="I9" s="12">
        <v>0.21747559752428017</v>
      </c>
    </row>
    <row r="10" spans="1:9">
      <c r="A10" s="9"/>
      <c r="B10" s="9" t="s">
        <v>13</v>
      </c>
      <c r="C10" s="12">
        <v>1.4892237688675784E-2</v>
      </c>
      <c r="D10" s="12">
        <v>1.7252978447537735E-2</v>
      </c>
      <c r="E10" s="12">
        <v>5.7611859970154368E-2</v>
      </c>
      <c r="F10" s="12">
        <v>0</v>
      </c>
      <c r="G10" s="12">
        <v>6.3788927758886413E-3</v>
      </c>
      <c r="H10" s="12">
        <v>1.6415098955402795E-2</v>
      </c>
      <c r="I10" s="12">
        <v>0.11255106783765932</v>
      </c>
    </row>
    <row r="11" spans="1:9">
      <c r="A11" s="9" t="s">
        <v>16</v>
      </c>
      <c r="B11" s="9"/>
      <c r="C11" s="12">
        <v>0.11399442229126404</v>
      </c>
      <c r="D11" s="12">
        <v>5.579543508574504E-2</v>
      </c>
      <c r="E11" s="12">
        <v>6.4058027741761878E-2</v>
      </c>
      <c r="F11" s="12">
        <v>0</v>
      </c>
      <c r="G11" s="12">
        <v>1.2782249186584143E-2</v>
      </c>
      <c r="H11" s="12">
        <v>8.3396531056584386E-2</v>
      </c>
      <c r="I11" s="12">
        <v>0.33002666536193948</v>
      </c>
    </row>
    <row r="12" spans="1:9">
      <c r="A12" s="9" t="s">
        <v>17</v>
      </c>
      <c r="B12" s="9" t="s">
        <v>12</v>
      </c>
      <c r="C12" s="12">
        <v>8.1194803923967024E-2</v>
      </c>
      <c r="D12" s="12">
        <v>0</v>
      </c>
      <c r="E12" s="12">
        <v>0</v>
      </c>
      <c r="F12" s="12">
        <v>5.1434792181422315E-2</v>
      </c>
      <c r="G12" s="12">
        <v>6.3788927758886413E-3</v>
      </c>
      <c r="H12" s="12">
        <v>0.18137338845805709</v>
      </c>
      <c r="I12" s="12">
        <v>0.3203818773393351</v>
      </c>
    </row>
    <row r="13" spans="1:9">
      <c r="A13" s="9"/>
      <c r="B13" s="9" t="s">
        <v>13</v>
      </c>
      <c r="C13" s="12">
        <v>9.5750666634048492E-2</v>
      </c>
      <c r="D13" s="12">
        <v>0</v>
      </c>
      <c r="E13" s="12">
        <v>0</v>
      </c>
      <c r="F13" s="12">
        <v>3.1961738875162071E-2</v>
      </c>
      <c r="G13" s="12">
        <v>1.9271228319103651E-2</v>
      </c>
      <c r="H13" s="12">
        <v>0.10444748880788708</v>
      </c>
      <c r="I13" s="12">
        <v>0.25143112263620127</v>
      </c>
    </row>
    <row r="14" spans="1:9">
      <c r="A14" s="9" t="s">
        <v>18</v>
      </c>
      <c r="B14" s="9"/>
      <c r="C14" s="12">
        <v>0.17694547055801552</v>
      </c>
      <c r="D14" s="12">
        <v>0</v>
      </c>
      <c r="E14" s="12">
        <v>0</v>
      </c>
      <c r="F14" s="12">
        <v>8.3396531056584386E-2</v>
      </c>
      <c r="G14" s="12">
        <v>2.5650121094992293E-2</v>
      </c>
      <c r="H14" s="12">
        <v>0.28582087726594418</v>
      </c>
      <c r="I14" s="12">
        <v>0.57181299997553636</v>
      </c>
    </row>
    <row r="15" spans="1:9">
      <c r="A15" s="9" t="s">
        <v>10</v>
      </c>
      <c r="B15" s="9"/>
      <c r="C15" s="12">
        <v>0.30778922132250408</v>
      </c>
      <c r="D15" s="12">
        <v>5.579543508574504E-2</v>
      </c>
      <c r="E15" s="12">
        <v>0.12831788047068032</v>
      </c>
      <c r="F15" s="12">
        <v>8.3396531056584386E-2</v>
      </c>
      <c r="G15" s="12">
        <v>5.5483523741957579E-2</v>
      </c>
      <c r="H15" s="12">
        <v>0.36921740832252858</v>
      </c>
      <c r="I15" s="12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7955-37C0-4EDF-8C65-B4357CC50A21}">
  <dimension ref="A1:K13"/>
  <sheetViews>
    <sheetView workbookViewId="0">
      <selection activeCell="A17" sqref="A17:B20"/>
    </sheetView>
  </sheetViews>
  <sheetFormatPr defaultRowHeight="15"/>
  <cols>
    <col min="1" max="1" width="23.42578125" customWidth="1"/>
    <col min="2" max="2" width="17.140625" customWidth="1"/>
    <col min="3" max="3" width="16.42578125" customWidth="1"/>
    <col min="4" max="4" width="13.7109375" customWidth="1"/>
    <col min="7" max="7" width="20.42578125" bestFit="1" customWidth="1"/>
    <col min="8" max="8" width="11.7109375" bestFit="1" customWidth="1"/>
    <col min="9" max="9" width="8.5703125" bestFit="1" customWidth="1"/>
    <col min="10" max="10" width="13.5703125" bestFit="1" customWidth="1"/>
    <col min="11" max="11" width="11.7109375" bestFit="1" customWidth="1"/>
    <col min="12" max="12" width="11" bestFit="1" customWidth="1"/>
    <col min="13" max="13" width="9.85546875" bestFit="1" customWidth="1"/>
    <col min="14" max="14" width="11.7109375" bestFit="1" customWidth="1"/>
    <col min="15" max="15" width="8.85546875" bestFit="1" customWidth="1"/>
    <col min="16" max="16" width="6.42578125" bestFit="1" customWidth="1"/>
    <col min="17" max="17" width="13.5703125" bestFit="1" customWidth="1"/>
    <col min="18" max="18" width="15.42578125" bestFit="1" customWidth="1"/>
    <col min="19" max="19" width="19.7109375" bestFit="1" customWidth="1"/>
    <col min="20" max="20" width="11" bestFit="1" customWidth="1"/>
    <col min="21" max="21" width="9.85546875" bestFit="1" customWidth="1"/>
    <col min="22" max="22" width="18.5703125" bestFit="1" customWidth="1"/>
    <col min="23" max="23" width="11.7109375" bestFit="1" customWidth="1"/>
    <col min="24" max="24" width="13.5703125" bestFit="1" customWidth="1"/>
    <col min="25" max="25" width="9.7109375" bestFit="1" customWidth="1"/>
    <col min="26" max="26" width="10.42578125" bestFit="1" customWidth="1"/>
    <col min="27" max="27" width="13.5703125" bestFit="1" customWidth="1"/>
    <col min="28" max="28" width="9.7109375" bestFit="1" customWidth="1"/>
    <col min="29" max="29" width="11" bestFit="1" customWidth="1"/>
    <col min="30" max="30" width="13.5703125" bestFit="1" customWidth="1"/>
    <col min="31" max="31" width="19.7109375" bestFit="1" customWidth="1"/>
    <col min="32" max="32" width="18.5703125" bestFit="1" customWidth="1"/>
    <col min="33" max="33" width="9.7109375" bestFit="1" customWidth="1"/>
    <col min="34" max="34" width="10.42578125" bestFit="1" customWidth="1"/>
    <col min="35" max="35" width="13.5703125" bestFit="1" customWidth="1"/>
    <col min="36" max="36" width="9.7109375" bestFit="1" customWidth="1"/>
    <col min="37" max="37" width="10.42578125" bestFit="1" customWidth="1"/>
    <col min="38" max="38" width="13.5703125" bestFit="1" customWidth="1"/>
    <col min="39" max="39" width="9.7109375" bestFit="1" customWidth="1"/>
    <col min="40" max="40" width="11.7109375" bestFit="1" customWidth="1"/>
  </cols>
  <sheetData>
    <row r="1" spans="1:11" ht="17.25">
      <c r="A1" s="13" t="s">
        <v>19</v>
      </c>
      <c r="B1" s="13" t="s">
        <v>20</v>
      </c>
      <c r="C1" s="18" t="s">
        <v>21</v>
      </c>
      <c r="D1" s="19" t="s">
        <v>22</v>
      </c>
      <c r="G1" s="11" t="s">
        <v>23</v>
      </c>
      <c r="H1" s="11" t="s">
        <v>24</v>
      </c>
    </row>
    <row r="2" spans="1:11" ht="17.25">
      <c r="A2" s="14" t="s">
        <v>25</v>
      </c>
      <c r="B2" s="14" t="s">
        <v>26</v>
      </c>
      <c r="C2" s="14">
        <v>500</v>
      </c>
      <c r="D2" s="20" t="str" cm="1">
        <f t="array" ref="D2">_xlfn.SWITCH(TRUE, C2 &gt; 600, "High", C2 &gt;= 300, "Medium", "Low")</f>
        <v>Medium</v>
      </c>
      <c r="G2" s="11" t="s">
        <v>27</v>
      </c>
      <c r="H2" t="s">
        <v>26</v>
      </c>
      <c r="I2" t="s">
        <v>28</v>
      </c>
      <c r="J2" t="s">
        <v>29</v>
      </c>
      <c r="K2" t="s">
        <v>10</v>
      </c>
    </row>
    <row r="3" spans="1:11" ht="16.5" customHeight="1">
      <c r="A3" s="14" t="s">
        <v>25</v>
      </c>
      <c r="B3" s="14" t="s">
        <v>29</v>
      </c>
      <c r="C3" s="15">
        <v>200</v>
      </c>
      <c r="D3" s="20" t="str" cm="1">
        <f t="array" ref="D3">_xlfn.SWITCH(TRUE, C3 &gt; 600, "High", C3 &gt;= 300, "Medium", "Low")</f>
        <v>Low</v>
      </c>
      <c r="G3" t="s">
        <v>30</v>
      </c>
      <c r="H3">
        <v>700</v>
      </c>
      <c r="I3">
        <v>400</v>
      </c>
      <c r="J3">
        <v>0</v>
      </c>
      <c r="K3">
        <v>1100</v>
      </c>
    </row>
    <row r="4" spans="1:11" ht="17.25">
      <c r="A4" s="14" t="s">
        <v>30</v>
      </c>
      <c r="B4" s="14" t="s">
        <v>26</v>
      </c>
      <c r="C4" s="15">
        <v>700</v>
      </c>
      <c r="D4" s="20" t="str" cm="1">
        <f t="array" ref="D4">_xlfn.SWITCH(TRUE, C4 &gt; 600, "High", C4 &gt;= 300, "Medium", "Low")</f>
        <v>High</v>
      </c>
      <c r="G4" t="s">
        <v>31</v>
      </c>
      <c r="H4">
        <v>250</v>
      </c>
      <c r="I4">
        <v>300</v>
      </c>
      <c r="J4">
        <v>0</v>
      </c>
      <c r="K4">
        <v>550</v>
      </c>
    </row>
    <row r="5" spans="1:11" ht="17.25">
      <c r="A5" s="14" t="s">
        <v>30</v>
      </c>
      <c r="B5" s="14" t="s">
        <v>28</v>
      </c>
      <c r="C5" s="15">
        <v>400</v>
      </c>
      <c r="D5" s="20" t="str" cm="1">
        <f t="array" ref="D5">_xlfn.SWITCH(TRUE, C5 &gt; 600, "High", C5 &gt;= 300, "Medium", "Low")</f>
        <v>Medium</v>
      </c>
      <c r="G5" t="s">
        <v>32</v>
      </c>
      <c r="H5">
        <v>0</v>
      </c>
      <c r="I5">
        <v>800</v>
      </c>
      <c r="J5">
        <v>300</v>
      </c>
      <c r="K5">
        <v>1100</v>
      </c>
    </row>
    <row r="6" spans="1:11" ht="17.25">
      <c r="A6" s="14" t="s">
        <v>33</v>
      </c>
      <c r="B6" s="14" t="s">
        <v>29</v>
      </c>
      <c r="C6" s="15">
        <v>150</v>
      </c>
      <c r="D6" s="20" t="str" cm="1">
        <f t="array" ref="D6">_xlfn.SWITCH(TRUE, C6 &gt; 600, "High", C6 &gt;= 300, "Medium", "Low")</f>
        <v>Low</v>
      </c>
      <c r="G6" t="s">
        <v>34</v>
      </c>
      <c r="H6">
        <v>400</v>
      </c>
      <c r="I6">
        <v>0</v>
      </c>
      <c r="J6">
        <v>600</v>
      </c>
      <c r="K6">
        <v>1000</v>
      </c>
    </row>
    <row r="7" spans="1:11" ht="17.25">
      <c r="A7" s="14" t="s">
        <v>33</v>
      </c>
      <c r="B7" s="14" t="s">
        <v>26</v>
      </c>
      <c r="C7" s="15">
        <v>600</v>
      </c>
      <c r="D7" s="20" t="str" cm="1">
        <f t="array" ref="D7">_xlfn.SWITCH(TRUE, C7 &gt; 600, "High", C7 &gt;= 300, "Medium", "Low")</f>
        <v>Medium</v>
      </c>
      <c r="G7" t="s">
        <v>33</v>
      </c>
      <c r="H7">
        <v>600</v>
      </c>
      <c r="I7">
        <v>0</v>
      </c>
      <c r="J7">
        <v>150</v>
      </c>
      <c r="K7">
        <v>750</v>
      </c>
    </row>
    <row r="8" spans="1:11" ht="17.25">
      <c r="A8" s="14" t="s">
        <v>32</v>
      </c>
      <c r="B8" s="14" t="s">
        <v>28</v>
      </c>
      <c r="C8" s="15">
        <v>800</v>
      </c>
      <c r="D8" s="20" t="str" cm="1">
        <f t="array" ref="D8">_xlfn.SWITCH(TRUE, C8 &gt; 600, "High", C8 &gt;= 300, "Medium", "Low")</f>
        <v>High</v>
      </c>
      <c r="G8" t="s">
        <v>25</v>
      </c>
      <c r="H8">
        <v>500</v>
      </c>
      <c r="I8">
        <v>0</v>
      </c>
      <c r="J8">
        <v>200</v>
      </c>
      <c r="K8">
        <v>700</v>
      </c>
    </row>
    <row r="9" spans="1:11" ht="17.25">
      <c r="A9" s="14" t="s">
        <v>32</v>
      </c>
      <c r="B9" s="14" t="s">
        <v>29</v>
      </c>
      <c r="C9" s="15">
        <v>300</v>
      </c>
      <c r="D9" s="20" t="str" cm="1">
        <f t="array" ref="D9">_xlfn.SWITCH(TRUE, C9 &gt; 600, "High", C9 &gt;= 300, "Medium", "Low")</f>
        <v>Medium</v>
      </c>
      <c r="G9" t="s">
        <v>10</v>
      </c>
      <c r="H9">
        <v>2450</v>
      </c>
      <c r="I9">
        <v>1500</v>
      </c>
      <c r="J9">
        <v>1250</v>
      </c>
      <c r="K9">
        <v>5200</v>
      </c>
    </row>
    <row r="10" spans="1:11" ht="17.25">
      <c r="A10" s="14" t="s">
        <v>31</v>
      </c>
      <c r="B10" s="14" t="s">
        <v>26</v>
      </c>
      <c r="C10" s="15">
        <v>250</v>
      </c>
      <c r="D10" s="20" t="str" cm="1">
        <f t="array" ref="D10">_xlfn.SWITCH(TRUE, C10 &gt; 600, "High", C10 &gt;= 300, "Medium", "Low")</f>
        <v>Low</v>
      </c>
    </row>
    <row r="11" spans="1:11" ht="17.25">
      <c r="A11" s="14" t="s">
        <v>31</v>
      </c>
      <c r="B11" s="14" t="s">
        <v>28</v>
      </c>
      <c r="C11" s="15">
        <v>300</v>
      </c>
      <c r="D11" s="20" t="str" cm="1">
        <f t="array" ref="D11">_xlfn.SWITCH(TRUE, C11 &gt; 600, "High", C11 &gt;= 300, "Medium", "Low")</f>
        <v>Medium</v>
      </c>
    </row>
    <row r="12" spans="1:11" ht="17.25">
      <c r="A12" s="14" t="s">
        <v>34</v>
      </c>
      <c r="B12" s="14" t="s">
        <v>29</v>
      </c>
      <c r="C12" s="15">
        <v>600</v>
      </c>
      <c r="D12" s="20" t="str" cm="1">
        <f t="array" ref="D12">_xlfn.SWITCH(TRUE, C12 &gt; 600, "High", C12 &gt;= 300, "Medium", "Low")</f>
        <v>Medium</v>
      </c>
    </row>
    <row r="13" spans="1:11" ht="17.25">
      <c r="A13" s="17" t="s">
        <v>34</v>
      </c>
      <c r="B13" s="17" t="s">
        <v>26</v>
      </c>
      <c r="C13" s="16">
        <v>400</v>
      </c>
      <c r="D13" s="21" t="str" cm="1">
        <f t="array" ref="D13">_xlfn.SWITCH(TRUE, C13 &gt; 600, "High", C13 &gt;= 300, "Medium", "Low")</f>
        <v>Medium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A47" workbookViewId="0">
      <selection activeCell="G5" sqref="G5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7" t="s">
        <v>2</v>
      </c>
      <c r="H1" s="4" t="s">
        <v>3</v>
      </c>
      <c r="I1" s="4" t="s">
        <v>1</v>
      </c>
      <c r="J1" s="4" t="s">
        <v>41</v>
      </c>
      <c r="K1" s="4" t="s">
        <v>42</v>
      </c>
      <c r="L1" s="4" t="s">
        <v>43</v>
      </c>
      <c r="M1" s="6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</row>
    <row r="2" spans="1:19">
      <c r="A2" s="3" t="s">
        <v>51</v>
      </c>
      <c r="B2" s="1">
        <v>44531</v>
      </c>
      <c r="C2">
        <v>1</v>
      </c>
      <c r="D2" t="s">
        <v>52</v>
      </c>
      <c r="E2">
        <v>2021</v>
      </c>
      <c r="F2">
        <v>39</v>
      </c>
      <c r="G2" s="8" t="s">
        <v>17</v>
      </c>
      <c r="H2" t="s">
        <v>12</v>
      </c>
      <c r="I2" t="s">
        <v>9</v>
      </c>
      <c r="J2" t="s">
        <v>53</v>
      </c>
      <c r="K2" t="s">
        <v>54</v>
      </c>
      <c r="L2" t="s">
        <v>55</v>
      </c>
      <c r="M2" s="5" t="s">
        <v>56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57</v>
      </c>
      <c r="B3" s="1">
        <v>44531</v>
      </c>
      <c r="C3">
        <v>1</v>
      </c>
      <c r="D3" t="s">
        <v>52</v>
      </c>
      <c r="E3">
        <v>2021</v>
      </c>
      <c r="F3">
        <v>44</v>
      </c>
      <c r="G3" s="8" t="s">
        <v>17</v>
      </c>
      <c r="H3" t="s">
        <v>13</v>
      </c>
      <c r="I3" t="s">
        <v>8</v>
      </c>
      <c r="J3" t="s">
        <v>58</v>
      </c>
      <c r="K3" t="s">
        <v>54</v>
      </c>
      <c r="L3" t="s">
        <v>55</v>
      </c>
      <c r="M3" s="5" t="s">
        <v>59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60</v>
      </c>
      <c r="B4" s="1">
        <v>44532</v>
      </c>
      <c r="C4">
        <v>2</v>
      </c>
      <c r="D4" t="s">
        <v>52</v>
      </c>
      <c r="E4">
        <v>2021</v>
      </c>
      <c r="F4">
        <v>37</v>
      </c>
      <c r="G4" s="8" t="s">
        <v>17</v>
      </c>
      <c r="H4" t="s">
        <v>13</v>
      </c>
      <c r="I4" t="s">
        <v>9</v>
      </c>
      <c r="J4" t="s">
        <v>53</v>
      </c>
      <c r="K4" t="s">
        <v>54</v>
      </c>
      <c r="L4" t="s">
        <v>55</v>
      </c>
      <c r="M4" s="5" t="s">
        <v>61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62</v>
      </c>
      <c r="B5" s="1">
        <v>44532</v>
      </c>
      <c r="C5">
        <v>2</v>
      </c>
      <c r="D5" t="s">
        <v>52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63</v>
      </c>
      <c r="K5" t="s">
        <v>54</v>
      </c>
      <c r="L5" t="s">
        <v>55</v>
      </c>
      <c r="M5" s="5" t="s">
        <v>64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65</v>
      </c>
      <c r="B6" s="1">
        <v>44533</v>
      </c>
      <c r="C6">
        <v>3</v>
      </c>
      <c r="D6" t="s">
        <v>52</v>
      </c>
      <c r="E6">
        <v>2021</v>
      </c>
      <c r="F6">
        <v>37</v>
      </c>
      <c r="G6" s="8" t="s">
        <v>17</v>
      </c>
      <c r="H6" t="s">
        <v>12</v>
      </c>
      <c r="I6" t="s">
        <v>9</v>
      </c>
      <c r="J6" t="s">
        <v>53</v>
      </c>
      <c r="K6" t="s">
        <v>54</v>
      </c>
      <c r="L6" t="s">
        <v>55</v>
      </c>
      <c r="M6" s="5" t="s">
        <v>56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66</v>
      </c>
      <c r="B7" s="1">
        <v>44533</v>
      </c>
      <c r="C7">
        <v>3</v>
      </c>
      <c r="D7" t="s">
        <v>52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58</v>
      </c>
      <c r="K7" t="s">
        <v>54</v>
      </c>
      <c r="L7" t="s">
        <v>55</v>
      </c>
      <c r="M7" s="5" t="s">
        <v>67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68</v>
      </c>
      <c r="B8" s="1">
        <v>44533</v>
      </c>
      <c r="C8">
        <v>3</v>
      </c>
      <c r="D8" t="s">
        <v>52</v>
      </c>
      <c r="E8">
        <v>2021</v>
      </c>
      <c r="F8">
        <v>37</v>
      </c>
      <c r="G8" s="8" t="s">
        <v>17</v>
      </c>
      <c r="H8" t="s">
        <v>13</v>
      </c>
      <c r="I8" t="s">
        <v>9</v>
      </c>
      <c r="J8" t="s">
        <v>69</v>
      </c>
      <c r="K8" t="s">
        <v>54</v>
      </c>
      <c r="L8" t="s">
        <v>55</v>
      </c>
      <c r="M8" s="5" t="s">
        <v>56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70</v>
      </c>
      <c r="B9" s="1">
        <v>44534</v>
      </c>
      <c r="C9">
        <v>4</v>
      </c>
      <c r="D9" t="s">
        <v>52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63</v>
      </c>
      <c r="K9" t="s">
        <v>54</v>
      </c>
      <c r="L9" t="s">
        <v>55</v>
      </c>
      <c r="M9" s="5" t="s">
        <v>64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71</v>
      </c>
      <c r="B10" s="1">
        <v>44535</v>
      </c>
      <c r="C10">
        <v>5</v>
      </c>
      <c r="D10" t="s">
        <v>52</v>
      </c>
      <c r="E10">
        <v>2021</v>
      </c>
      <c r="F10">
        <v>39</v>
      </c>
      <c r="G10" s="8" t="s">
        <v>17</v>
      </c>
      <c r="H10" t="s">
        <v>12</v>
      </c>
      <c r="I10" t="s">
        <v>9</v>
      </c>
      <c r="J10" t="s">
        <v>53</v>
      </c>
      <c r="K10" t="s">
        <v>54</v>
      </c>
      <c r="L10" t="s">
        <v>55</v>
      </c>
      <c r="M10" s="5" t="s">
        <v>56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72</v>
      </c>
      <c r="B11" s="1">
        <v>44535</v>
      </c>
      <c r="D11" t="s">
        <v>52</v>
      </c>
      <c r="E11">
        <v>2021</v>
      </c>
      <c r="F11">
        <v>42</v>
      </c>
      <c r="G11" s="8" t="s">
        <v>17</v>
      </c>
      <c r="H11" t="s">
        <v>13</v>
      </c>
      <c r="I11" t="s">
        <v>7</v>
      </c>
      <c r="J11" t="s">
        <v>73</v>
      </c>
      <c r="K11" t="s">
        <v>54</v>
      </c>
      <c r="L11" t="s">
        <v>55</v>
      </c>
      <c r="M11" s="5" t="s">
        <v>67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74</v>
      </c>
      <c r="B12" s="1">
        <v>44535</v>
      </c>
      <c r="C12">
        <v>5</v>
      </c>
      <c r="D12" t="s">
        <v>52</v>
      </c>
      <c r="E12">
        <v>2021</v>
      </c>
      <c r="F12">
        <v>35</v>
      </c>
      <c r="G12" s="8" t="s">
        <v>17</v>
      </c>
      <c r="H12" t="s">
        <v>12</v>
      </c>
      <c r="I12" t="s">
        <v>4</v>
      </c>
      <c r="J12" t="s">
        <v>75</v>
      </c>
      <c r="K12" t="s">
        <v>54</v>
      </c>
      <c r="L12" t="s">
        <v>55</v>
      </c>
      <c r="M12" s="5" t="s">
        <v>76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77</v>
      </c>
      <c r="B13" s="1">
        <v>44535</v>
      </c>
      <c r="C13">
        <v>5</v>
      </c>
      <c r="D13" t="s">
        <v>52</v>
      </c>
      <c r="E13">
        <v>2021</v>
      </c>
      <c r="F13">
        <v>37</v>
      </c>
      <c r="G13" s="8" t="s">
        <v>17</v>
      </c>
      <c r="H13" t="s">
        <v>12</v>
      </c>
      <c r="I13" t="s">
        <v>9</v>
      </c>
      <c r="J13" t="s">
        <v>53</v>
      </c>
      <c r="K13" t="s">
        <v>54</v>
      </c>
      <c r="L13" t="s">
        <v>55</v>
      </c>
      <c r="M13" s="5" t="s">
        <v>56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78</v>
      </c>
      <c r="B14" s="1">
        <v>44536</v>
      </c>
      <c r="C14">
        <v>6</v>
      </c>
      <c r="D14" t="s">
        <v>52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58</v>
      </c>
      <c r="K14" t="s">
        <v>54</v>
      </c>
      <c r="L14" t="s">
        <v>55</v>
      </c>
      <c r="M14" s="5" t="s">
        <v>61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79</v>
      </c>
      <c r="B15" s="1">
        <v>44536</v>
      </c>
      <c r="C15">
        <v>6</v>
      </c>
      <c r="D15" t="s">
        <v>52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80</v>
      </c>
      <c r="K15" t="s">
        <v>54</v>
      </c>
      <c r="L15" t="s">
        <v>55</v>
      </c>
      <c r="M15" s="5" t="s">
        <v>56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81</v>
      </c>
      <c r="B16" s="1">
        <v>44536</v>
      </c>
      <c r="C16">
        <v>6</v>
      </c>
      <c r="D16" t="s">
        <v>52</v>
      </c>
      <c r="E16">
        <v>2021</v>
      </c>
      <c r="F16">
        <v>36</v>
      </c>
      <c r="G16" s="8" t="s">
        <v>17</v>
      </c>
      <c r="H16" t="s">
        <v>13</v>
      </c>
      <c r="I16" t="s">
        <v>4</v>
      </c>
      <c r="J16" t="s">
        <v>63</v>
      </c>
      <c r="K16" t="s">
        <v>54</v>
      </c>
      <c r="L16" t="s">
        <v>55</v>
      </c>
      <c r="M16" s="5" t="s">
        <v>82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83</v>
      </c>
      <c r="B17" s="1">
        <v>44536</v>
      </c>
      <c r="C17">
        <v>6</v>
      </c>
      <c r="D17" t="s">
        <v>52</v>
      </c>
      <c r="E17">
        <v>2021</v>
      </c>
      <c r="F17">
        <v>47</v>
      </c>
      <c r="G17" s="8" t="s">
        <v>17</v>
      </c>
      <c r="H17" t="s">
        <v>13</v>
      </c>
      <c r="I17" t="s">
        <v>8</v>
      </c>
      <c r="J17" t="s">
        <v>58</v>
      </c>
      <c r="K17" t="s">
        <v>54</v>
      </c>
      <c r="L17" t="s">
        <v>55</v>
      </c>
      <c r="M17" s="5" t="s">
        <v>76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84</v>
      </c>
      <c r="B18" s="1">
        <v>44537</v>
      </c>
      <c r="C18">
        <v>7</v>
      </c>
      <c r="D18" t="s">
        <v>52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53</v>
      </c>
      <c r="K18" t="s">
        <v>54</v>
      </c>
      <c r="L18" t="s">
        <v>55</v>
      </c>
      <c r="M18" s="5" t="s">
        <v>85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86</v>
      </c>
      <c r="B19" s="1">
        <v>44537</v>
      </c>
      <c r="C19">
        <v>7</v>
      </c>
      <c r="D19" t="s">
        <v>52</v>
      </c>
      <c r="E19">
        <v>2021</v>
      </c>
      <c r="F19">
        <v>38</v>
      </c>
      <c r="G19" s="8" t="s">
        <v>17</v>
      </c>
      <c r="H19" t="s">
        <v>13</v>
      </c>
      <c r="I19" t="s">
        <v>9</v>
      </c>
      <c r="J19" t="s">
        <v>53</v>
      </c>
      <c r="K19" t="s">
        <v>54</v>
      </c>
      <c r="L19" t="s">
        <v>55</v>
      </c>
      <c r="M19" s="5" t="s">
        <v>59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87</v>
      </c>
      <c r="B20" s="1">
        <v>44538</v>
      </c>
      <c r="C20">
        <v>8</v>
      </c>
      <c r="D20" t="s">
        <v>52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63</v>
      </c>
      <c r="K20" t="s">
        <v>54</v>
      </c>
      <c r="L20" t="s">
        <v>55</v>
      </c>
      <c r="M20" s="5" t="s">
        <v>88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89</v>
      </c>
      <c r="B21" s="1">
        <v>44538</v>
      </c>
      <c r="C21">
        <v>8</v>
      </c>
      <c r="D21" t="s">
        <v>52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80</v>
      </c>
      <c r="K21" t="s">
        <v>54</v>
      </c>
      <c r="L21" t="s">
        <v>55</v>
      </c>
      <c r="M21" s="5" t="s">
        <v>76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90</v>
      </c>
      <c r="B22" s="1">
        <v>44538</v>
      </c>
      <c r="C22">
        <v>8</v>
      </c>
      <c r="D22" t="s">
        <v>52</v>
      </c>
      <c r="E22">
        <v>2021</v>
      </c>
      <c r="F22">
        <v>39</v>
      </c>
      <c r="G22" s="8" t="s">
        <v>17</v>
      </c>
      <c r="H22" t="s">
        <v>12</v>
      </c>
      <c r="I22" t="s">
        <v>9</v>
      </c>
      <c r="J22" t="s">
        <v>91</v>
      </c>
      <c r="K22" t="s">
        <v>54</v>
      </c>
      <c r="L22" t="s">
        <v>55</v>
      </c>
      <c r="M22" s="5" t="s">
        <v>92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93</v>
      </c>
      <c r="B23" s="1">
        <v>44538</v>
      </c>
      <c r="C23">
        <v>8</v>
      </c>
      <c r="D23" t="s">
        <v>52</v>
      </c>
      <c r="E23">
        <v>2021</v>
      </c>
      <c r="F23">
        <v>35</v>
      </c>
      <c r="G23" s="8" t="s">
        <v>17</v>
      </c>
      <c r="H23" t="s">
        <v>12</v>
      </c>
      <c r="I23" t="s">
        <v>9</v>
      </c>
      <c r="J23" t="s">
        <v>53</v>
      </c>
      <c r="K23" t="s">
        <v>54</v>
      </c>
      <c r="L23" t="s">
        <v>55</v>
      </c>
      <c r="M23" s="5" t="s">
        <v>92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94</v>
      </c>
      <c r="B24" s="1">
        <v>44539</v>
      </c>
      <c r="C24">
        <v>9</v>
      </c>
      <c r="D24" t="s">
        <v>52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95</v>
      </c>
      <c r="K24" t="s">
        <v>54</v>
      </c>
      <c r="L24" t="s">
        <v>55</v>
      </c>
      <c r="M24" s="5" t="s">
        <v>96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97</v>
      </c>
      <c r="B25" s="1">
        <v>44539</v>
      </c>
      <c r="C25">
        <v>9</v>
      </c>
      <c r="D25" t="s">
        <v>52</v>
      </c>
      <c r="E25">
        <v>2021</v>
      </c>
      <c r="F25">
        <v>41</v>
      </c>
      <c r="G25" s="8" t="s">
        <v>17</v>
      </c>
      <c r="H25" t="s">
        <v>12</v>
      </c>
      <c r="I25" t="s">
        <v>7</v>
      </c>
      <c r="J25" t="s">
        <v>98</v>
      </c>
      <c r="K25" t="s">
        <v>54</v>
      </c>
      <c r="L25" t="s">
        <v>55</v>
      </c>
      <c r="M25" s="5" t="s">
        <v>59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99</v>
      </c>
      <c r="B26" s="1">
        <v>44540</v>
      </c>
      <c r="C26">
        <v>10</v>
      </c>
      <c r="D26" t="s">
        <v>52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53</v>
      </c>
      <c r="K26" t="s">
        <v>54</v>
      </c>
      <c r="L26" t="s">
        <v>55</v>
      </c>
      <c r="M26" s="5" t="s">
        <v>82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100</v>
      </c>
      <c r="B27" s="1">
        <v>44540</v>
      </c>
      <c r="C27">
        <v>10</v>
      </c>
      <c r="D27" t="s">
        <v>52</v>
      </c>
      <c r="E27">
        <v>2021</v>
      </c>
      <c r="F27">
        <v>40</v>
      </c>
      <c r="G27" s="8" t="s">
        <v>17</v>
      </c>
      <c r="H27" t="s">
        <v>13</v>
      </c>
      <c r="I27" t="s">
        <v>4</v>
      </c>
      <c r="J27" t="s">
        <v>63</v>
      </c>
      <c r="K27" t="s">
        <v>54</v>
      </c>
      <c r="L27" t="s">
        <v>55</v>
      </c>
      <c r="M27" s="5" t="s">
        <v>82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101</v>
      </c>
      <c r="B28" s="1">
        <v>44540</v>
      </c>
      <c r="C28">
        <v>10</v>
      </c>
      <c r="D28" t="s">
        <v>52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58</v>
      </c>
      <c r="K28" t="s">
        <v>54</v>
      </c>
      <c r="L28" t="s">
        <v>55</v>
      </c>
      <c r="M28" s="5" t="s">
        <v>67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102</v>
      </c>
      <c r="B29" s="1">
        <v>44540</v>
      </c>
      <c r="C29">
        <v>10</v>
      </c>
      <c r="D29" t="s">
        <v>52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53</v>
      </c>
      <c r="K29" t="s">
        <v>54</v>
      </c>
      <c r="L29" t="s">
        <v>55</v>
      </c>
      <c r="M29" s="5" t="s">
        <v>103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104</v>
      </c>
      <c r="B30" s="1">
        <v>44540</v>
      </c>
      <c r="C30">
        <v>10</v>
      </c>
      <c r="D30" t="s">
        <v>52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69</v>
      </c>
      <c r="K30" t="s">
        <v>54</v>
      </c>
      <c r="L30" t="s">
        <v>55</v>
      </c>
      <c r="M30" s="5" t="s">
        <v>105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106</v>
      </c>
      <c r="B31" s="1">
        <v>44540</v>
      </c>
      <c r="C31">
        <v>10</v>
      </c>
      <c r="D31" t="s">
        <v>52</v>
      </c>
      <c r="E31">
        <v>2021</v>
      </c>
      <c r="F31">
        <v>38</v>
      </c>
      <c r="G31" s="8" t="s">
        <v>17</v>
      </c>
      <c r="H31" t="s">
        <v>13</v>
      </c>
      <c r="I31" t="s">
        <v>4</v>
      </c>
      <c r="J31" t="s">
        <v>63</v>
      </c>
      <c r="K31" t="s">
        <v>54</v>
      </c>
      <c r="L31" t="s">
        <v>55</v>
      </c>
      <c r="M31" s="5" t="s">
        <v>67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107</v>
      </c>
      <c r="B32" s="1">
        <v>44541</v>
      </c>
      <c r="C32">
        <v>11</v>
      </c>
      <c r="D32" t="s">
        <v>52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108</v>
      </c>
      <c r="K32" t="s">
        <v>54</v>
      </c>
      <c r="L32" t="s">
        <v>55</v>
      </c>
      <c r="M32" s="5" t="s">
        <v>67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109</v>
      </c>
      <c r="B33" s="1">
        <v>44541</v>
      </c>
      <c r="C33">
        <v>11</v>
      </c>
      <c r="D33" t="s">
        <v>52</v>
      </c>
      <c r="E33">
        <v>2021</v>
      </c>
      <c r="F33">
        <v>41</v>
      </c>
      <c r="G33" s="8" t="s">
        <v>17</v>
      </c>
      <c r="H33" t="s">
        <v>12</v>
      </c>
      <c r="I33" t="s">
        <v>4</v>
      </c>
      <c r="J33" t="s">
        <v>63</v>
      </c>
      <c r="K33" t="s">
        <v>54</v>
      </c>
      <c r="L33" t="s">
        <v>55</v>
      </c>
      <c r="M33" s="5" t="s">
        <v>85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110</v>
      </c>
      <c r="B34" s="1">
        <v>44541</v>
      </c>
      <c r="C34">
        <v>11</v>
      </c>
      <c r="D34" t="s">
        <v>52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80</v>
      </c>
      <c r="K34" t="s">
        <v>54</v>
      </c>
      <c r="L34" t="s">
        <v>55</v>
      </c>
      <c r="M34" s="5" t="s">
        <v>56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111</v>
      </c>
      <c r="B35" s="1">
        <v>44541</v>
      </c>
      <c r="C35">
        <v>11</v>
      </c>
      <c r="D35" t="s">
        <v>52</v>
      </c>
      <c r="E35">
        <v>2021</v>
      </c>
      <c r="F35">
        <v>37</v>
      </c>
      <c r="G35" s="8" t="s">
        <v>17</v>
      </c>
      <c r="H35" t="s">
        <v>13</v>
      </c>
      <c r="I35" t="s">
        <v>9</v>
      </c>
      <c r="J35" t="s">
        <v>53</v>
      </c>
      <c r="K35" t="s">
        <v>54</v>
      </c>
      <c r="L35" t="s">
        <v>55</v>
      </c>
      <c r="M35" s="5" t="s">
        <v>61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112</v>
      </c>
      <c r="B36" s="1">
        <v>44541</v>
      </c>
      <c r="C36">
        <v>11</v>
      </c>
      <c r="D36" t="s">
        <v>52</v>
      </c>
      <c r="E36">
        <v>2021</v>
      </c>
      <c r="F36">
        <v>38</v>
      </c>
      <c r="G36" s="8" t="s">
        <v>17</v>
      </c>
      <c r="H36" t="s">
        <v>12</v>
      </c>
      <c r="I36" t="s">
        <v>9</v>
      </c>
      <c r="J36" t="s">
        <v>53</v>
      </c>
      <c r="K36" t="s">
        <v>54</v>
      </c>
      <c r="L36" t="s">
        <v>55</v>
      </c>
      <c r="M36" s="5" t="s">
        <v>76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113</v>
      </c>
      <c r="B37" s="1">
        <v>44542</v>
      </c>
      <c r="C37">
        <v>12</v>
      </c>
      <c r="D37" t="s">
        <v>52</v>
      </c>
      <c r="E37">
        <v>2021</v>
      </c>
      <c r="F37">
        <v>36</v>
      </c>
      <c r="G37" s="8" t="s">
        <v>17</v>
      </c>
      <c r="H37" t="s">
        <v>12</v>
      </c>
      <c r="I37" t="s">
        <v>4</v>
      </c>
      <c r="J37" t="s">
        <v>63</v>
      </c>
      <c r="K37" t="s">
        <v>54</v>
      </c>
      <c r="L37" t="s">
        <v>55</v>
      </c>
      <c r="M37" s="5" t="s">
        <v>59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114</v>
      </c>
      <c r="B38" s="1">
        <v>44542</v>
      </c>
      <c r="C38">
        <v>12</v>
      </c>
      <c r="D38" t="s">
        <v>52</v>
      </c>
      <c r="E38">
        <v>2021</v>
      </c>
      <c r="F38">
        <v>37</v>
      </c>
      <c r="G38" s="8" t="s">
        <v>17</v>
      </c>
      <c r="H38" t="s">
        <v>13</v>
      </c>
      <c r="I38" t="s">
        <v>9</v>
      </c>
      <c r="J38" t="s">
        <v>53</v>
      </c>
      <c r="K38" t="s">
        <v>54</v>
      </c>
      <c r="L38" t="s">
        <v>55</v>
      </c>
      <c r="M38" s="5" t="s">
        <v>61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115</v>
      </c>
      <c r="B39" s="1">
        <v>44542</v>
      </c>
      <c r="C39">
        <v>12</v>
      </c>
      <c r="D39" t="s">
        <v>52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63</v>
      </c>
      <c r="K39" t="s">
        <v>54</v>
      </c>
      <c r="L39" t="s">
        <v>55</v>
      </c>
      <c r="M39" s="5" t="s">
        <v>67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116</v>
      </c>
      <c r="B40" s="1">
        <v>44542</v>
      </c>
      <c r="C40">
        <v>12</v>
      </c>
      <c r="D40" t="s">
        <v>52</v>
      </c>
      <c r="E40">
        <v>2021</v>
      </c>
      <c r="F40">
        <v>35</v>
      </c>
      <c r="G40" s="8" t="s">
        <v>17</v>
      </c>
      <c r="H40" t="s">
        <v>12</v>
      </c>
      <c r="I40" t="s">
        <v>4</v>
      </c>
      <c r="J40" t="s">
        <v>95</v>
      </c>
      <c r="K40" t="s">
        <v>54</v>
      </c>
      <c r="L40" t="s">
        <v>55</v>
      </c>
      <c r="M40" s="5" t="s">
        <v>59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117</v>
      </c>
      <c r="B41" s="1">
        <v>44542</v>
      </c>
      <c r="C41">
        <v>12</v>
      </c>
      <c r="D41" t="s">
        <v>52</v>
      </c>
      <c r="E41">
        <v>2021</v>
      </c>
      <c r="F41">
        <v>38</v>
      </c>
      <c r="G41" s="8" t="s">
        <v>17</v>
      </c>
      <c r="H41" t="s">
        <v>12</v>
      </c>
      <c r="I41" t="s">
        <v>9</v>
      </c>
      <c r="J41" t="s">
        <v>69</v>
      </c>
      <c r="K41" t="s">
        <v>54</v>
      </c>
      <c r="L41" t="s">
        <v>55</v>
      </c>
      <c r="M41" s="5" t="s">
        <v>59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118</v>
      </c>
      <c r="B42" s="1">
        <v>44543</v>
      </c>
      <c r="C42">
        <v>13</v>
      </c>
      <c r="D42" t="s">
        <v>52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75</v>
      </c>
      <c r="K42" t="s">
        <v>54</v>
      </c>
      <c r="L42" t="s">
        <v>55</v>
      </c>
      <c r="M42" s="5" t="s">
        <v>59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119</v>
      </c>
      <c r="B43" s="1">
        <v>44543</v>
      </c>
      <c r="C43">
        <v>13</v>
      </c>
      <c r="D43" t="s">
        <v>52</v>
      </c>
      <c r="E43">
        <v>2021</v>
      </c>
      <c r="F43">
        <v>40</v>
      </c>
      <c r="G43" s="8" t="s">
        <v>17</v>
      </c>
      <c r="H43" t="s">
        <v>12</v>
      </c>
      <c r="I43" t="s">
        <v>9</v>
      </c>
      <c r="J43" t="s">
        <v>53</v>
      </c>
      <c r="K43" t="s">
        <v>54</v>
      </c>
      <c r="L43" t="s">
        <v>55</v>
      </c>
      <c r="M43" s="5" t="s">
        <v>120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121</v>
      </c>
      <c r="B44" s="1">
        <v>44543</v>
      </c>
      <c r="C44">
        <v>13</v>
      </c>
      <c r="D44" t="s">
        <v>52</v>
      </c>
      <c r="E44">
        <v>2021</v>
      </c>
      <c r="F44">
        <v>44</v>
      </c>
      <c r="G44" s="8" t="s">
        <v>17</v>
      </c>
      <c r="H44" t="s">
        <v>12</v>
      </c>
      <c r="I44" t="s">
        <v>8</v>
      </c>
      <c r="J44" t="s">
        <v>58</v>
      </c>
      <c r="K44" t="s">
        <v>54</v>
      </c>
      <c r="L44" t="s">
        <v>55</v>
      </c>
      <c r="M44" s="5" t="s">
        <v>67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122</v>
      </c>
      <c r="B45" s="1">
        <v>44543</v>
      </c>
      <c r="C45">
        <v>13</v>
      </c>
      <c r="D45" t="s">
        <v>52</v>
      </c>
      <c r="E45">
        <v>2021</v>
      </c>
      <c r="F45">
        <v>49</v>
      </c>
      <c r="G45" s="8" t="s">
        <v>17</v>
      </c>
      <c r="H45" t="s">
        <v>13</v>
      </c>
      <c r="I45" t="s">
        <v>8</v>
      </c>
      <c r="J45" t="s">
        <v>58</v>
      </c>
      <c r="K45" t="s">
        <v>54</v>
      </c>
      <c r="L45" t="s">
        <v>55</v>
      </c>
      <c r="M45" s="5" t="s">
        <v>67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123</v>
      </c>
      <c r="B46" s="1">
        <v>44544</v>
      </c>
      <c r="C46">
        <v>14</v>
      </c>
      <c r="D46" t="s">
        <v>52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69</v>
      </c>
      <c r="K46" t="s">
        <v>54</v>
      </c>
      <c r="L46" t="s">
        <v>55</v>
      </c>
      <c r="M46" s="5" t="s">
        <v>76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124</v>
      </c>
      <c r="B47" s="1">
        <v>44544</v>
      </c>
      <c r="C47">
        <v>14</v>
      </c>
      <c r="D47" t="s">
        <v>52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53</v>
      </c>
      <c r="K47" t="s">
        <v>54</v>
      </c>
      <c r="L47" t="s">
        <v>55</v>
      </c>
      <c r="M47" s="5" t="s">
        <v>56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125</v>
      </c>
      <c r="B48" s="1">
        <v>44544</v>
      </c>
      <c r="C48">
        <v>14</v>
      </c>
      <c r="D48" t="s">
        <v>52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95</v>
      </c>
      <c r="K48" t="s">
        <v>54</v>
      </c>
      <c r="L48" t="s">
        <v>55</v>
      </c>
      <c r="M48" s="5" t="s">
        <v>61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126</v>
      </c>
      <c r="B49" s="1">
        <v>44545</v>
      </c>
      <c r="C49">
        <v>15</v>
      </c>
      <c r="D49" t="s">
        <v>52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53</v>
      </c>
      <c r="K49" t="s">
        <v>54</v>
      </c>
      <c r="L49" t="s">
        <v>55</v>
      </c>
      <c r="M49" s="5" t="s">
        <v>59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127</v>
      </c>
      <c r="B50" s="1">
        <v>44546</v>
      </c>
      <c r="C50">
        <v>16</v>
      </c>
      <c r="D50" t="s">
        <v>52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63</v>
      </c>
      <c r="K50" t="s">
        <v>54</v>
      </c>
      <c r="L50" t="s">
        <v>55</v>
      </c>
      <c r="M50" s="5" t="s">
        <v>67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128</v>
      </c>
      <c r="B51" s="1">
        <v>44546</v>
      </c>
      <c r="C51">
        <v>16</v>
      </c>
      <c r="D51" t="s">
        <v>52</v>
      </c>
      <c r="E51">
        <v>2021</v>
      </c>
      <c r="F51">
        <v>38</v>
      </c>
      <c r="G51" s="8" t="s">
        <v>17</v>
      </c>
      <c r="H51" t="s">
        <v>13</v>
      </c>
      <c r="I51" t="s">
        <v>4</v>
      </c>
      <c r="J51" t="s">
        <v>63</v>
      </c>
      <c r="K51" t="s">
        <v>54</v>
      </c>
      <c r="L51" t="s">
        <v>55</v>
      </c>
      <c r="M51" s="5" t="s">
        <v>67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129</v>
      </c>
      <c r="B52" s="1">
        <v>44546</v>
      </c>
      <c r="C52">
        <v>16</v>
      </c>
      <c r="D52" t="s">
        <v>52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130</v>
      </c>
      <c r="K52" t="s">
        <v>54</v>
      </c>
      <c r="L52" t="s">
        <v>55</v>
      </c>
      <c r="M52" s="5" t="s">
        <v>131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132</v>
      </c>
      <c r="B53" s="1">
        <v>44547</v>
      </c>
      <c r="C53">
        <v>17</v>
      </c>
      <c r="D53" t="s">
        <v>52</v>
      </c>
      <c r="E53">
        <v>2021</v>
      </c>
      <c r="F53">
        <v>37</v>
      </c>
      <c r="G53" s="8" t="s">
        <v>17</v>
      </c>
      <c r="H53" t="s">
        <v>12</v>
      </c>
      <c r="I53" t="s">
        <v>9</v>
      </c>
      <c r="J53" t="s">
        <v>69</v>
      </c>
      <c r="K53" t="s">
        <v>54</v>
      </c>
      <c r="L53" t="s">
        <v>55</v>
      </c>
      <c r="M53" s="5" t="s">
        <v>76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133</v>
      </c>
      <c r="B54" s="1">
        <v>44547</v>
      </c>
      <c r="C54">
        <v>17</v>
      </c>
      <c r="D54" t="s">
        <v>52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63</v>
      </c>
      <c r="K54" t="s">
        <v>54</v>
      </c>
      <c r="L54" t="s">
        <v>55</v>
      </c>
      <c r="M54" s="5" t="s">
        <v>64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134</v>
      </c>
      <c r="B55" s="1">
        <v>44547</v>
      </c>
      <c r="C55">
        <v>17</v>
      </c>
      <c r="D55" t="s">
        <v>52</v>
      </c>
      <c r="E55">
        <v>2021</v>
      </c>
      <c r="F55">
        <v>42</v>
      </c>
      <c r="G55" s="8" t="s">
        <v>17</v>
      </c>
      <c r="H55" t="s">
        <v>12</v>
      </c>
      <c r="I55" t="s">
        <v>7</v>
      </c>
      <c r="J55" t="s">
        <v>73</v>
      </c>
      <c r="K55" t="s">
        <v>54</v>
      </c>
      <c r="L55" t="s">
        <v>55</v>
      </c>
      <c r="M55" s="5" t="s">
        <v>131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135</v>
      </c>
      <c r="B56" s="1">
        <v>44548</v>
      </c>
      <c r="C56">
        <v>18</v>
      </c>
      <c r="D56" t="s">
        <v>52</v>
      </c>
      <c r="E56">
        <v>2021</v>
      </c>
      <c r="F56">
        <v>35</v>
      </c>
      <c r="G56" s="8" t="s">
        <v>17</v>
      </c>
      <c r="H56" t="s">
        <v>12</v>
      </c>
      <c r="I56" t="s">
        <v>4</v>
      </c>
      <c r="J56" t="s">
        <v>63</v>
      </c>
      <c r="K56" t="s">
        <v>54</v>
      </c>
      <c r="L56" t="s">
        <v>55</v>
      </c>
      <c r="M56" s="5" t="s">
        <v>88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136</v>
      </c>
      <c r="B57" s="1">
        <v>44548</v>
      </c>
      <c r="C57">
        <v>18</v>
      </c>
      <c r="D57" t="s">
        <v>52</v>
      </c>
      <c r="E57">
        <v>2021</v>
      </c>
      <c r="F57">
        <v>38</v>
      </c>
      <c r="G57" s="8" t="s">
        <v>17</v>
      </c>
      <c r="H57" t="s">
        <v>12</v>
      </c>
      <c r="I57" t="s">
        <v>7</v>
      </c>
      <c r="J57" t="s">
        <v>73</v>
      </c>
      <c r="K57" t="s">
        <v>54</v>
      </c>
      <c r="L57" t="s">
        <v>55</v>
      </c>
      <c r="M57" s="5" t="s">
        <v>131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137</v>
      </c>
      <c r="B58" s="1">
        <v>44548</v>
      </c>
      <c r="C58">
        <v>18</v>
      </c>
      <c r="D58" t="s">
        <v>52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138</v>
      </c>
      <c r="K58" t="s">
        <v>54</v>
      </c>
      <c r="L58" t="s">
        <v>55</v>
      </c>
      <c r="M58" s="5" t="s">
        <v>76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139</v>
      </c>
      <c r="B59" s="1">
        <v>44548</v>
      </c>
      <c r="C59">
        <v>18</v>
      </c>
      <c r="D59" t="s">
        <v>52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58</v>
      </c>
      <c r="K59" t="s">
        <v>54</v>
      </c>
      <c r="L59" t="s">
        <v>55</v>
      </c>
      <c r="M59" s="5" t="s">
        <v>64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140</v>
      </c>
      <c r="B60" s="1">
        <v>44548</v>
      </c>
      <c r="C60">
        <v>18</v>
      </c>
      <c r="D60" t="s">
        <v>52</v>
      </c>
      <c r="E60">
        <v>2021</v>
      </c>
      <c r="F60">
        <v>39</v>
      </c>
      <c r="G60" s="8" t="s">
        <v>17</v>
      </c>
      <c r="H60" t="s">
        <v>13</v>
      </c>
      <c r="I60" t="s">
        <v>9</v>
      </c>
      <c r="J60" t="s">
        <v>53</v>
      </c>
      <c r="K60" t="s">
        <v>54</v>
      </c>
      <c r="L60" t="s">
        <v>55</v>
      </c>
      <c r="M60" s="5" t="s">
        <v>82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141</v>
      </c>
      <c r="B61" s="1">
        <v>44548</v>
      </c>
      <c r="C61">
        <v>18</v>
      </c>
      <c r="D61" t="s">
        <v>52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108</v>
      </c>
      <c r="K61" t="s">
        <v>54</v>
      </c>
      <c r="L61" t="s">
        <v>55</v>
      </c>
      <c r="M61" s="5" t="s">
        <v>56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142</v>
      </c>
      <c r="B62" s="1">
        <v>44548</v>
      </c>
      <c r="C62">
        <v>18</v>
      </c>
      <c r="D62" t="s">
        <v>52</v>
      </c>
      <c r="E62">
        <v>2021</v>
      </c>
      <c r="F62">
        <v>36</v>
      </c>
      <c r="G62" s="8" t="s">
        <v>17</v>
      </c>
      <c r="H62" t="s">
        <v>13</v>
      </c>
      <c r="I62" t="s">
        <v>9</v>
      </c>
      <c r="J62" t="s">
        <v>69</v>
      </c>
      <c r="K62" t="s">
        <v>54</v>
      </c>
      <c r="L62" t="s">
        <v>55</v>
      </c>
      <c r="M62" s="5" t="s">
        <v>76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143</v>
      </c>
      <c r="B63" s="1">
        <v>44549</v>
      </c>
      <c r="C63">
        <v>19</v>
      </c>
      <c r="D63" t="s">
        <v>52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144</v>
      </c>
      <c r="K63" t="s">
        <v>54</v>
      </c>
      <c r="L63" t="s">
        <v>55</v>
      </c>
      <c r="M63" s="5" t="s">
        <v>131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145</v>
      </c>
      <c r="B64" s="1">
        <v>44549</v>
      </c>
      <c r="C64">
        <v>19</v>
      </c>
      <c r="D64" t="s">
        <v>52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95</v>
      </c>
      <c r="K64" t="s">
        <v>54</v>
      </c>
      <c r="L64" t="s">
        <v>55</v>
      </c>
      <c r="M64" s="5" t="s">
        <v>146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147</v>
      </c>
      <c r="B65" s="1">
        <v>44549</v>
      </c>
      <c r="C65">
        <v>19</v>
      </c>
      <c r="D65" t="s">
        <v>52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108</v>
      </c>
      <c r="K65" t="s">
        <v>54</v>
      </c>
      <c r="L65" t="s">
        <v>55</v>
      </c>
      <c r="M65" s="5" t="s">
        <v>67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148</v>
      </c>
      <c r="B66" s="1">
        <v>44549</v>
      </c>
      <c r="C66">
        <v>19</v>
      </c>
      <c r="D66" t="s">
        <v>52</v>
      </c>
      <c r="E66">
        <v>2021</v>
      </c>
      <c r="F66">
        <v>35</v>
      </c>
      <c r="G66" s="8" t="s">
        <v>17</v>
      </c>
      <c r="H66" t="s">
        <v>12</v>
      </c>
      <c r="I66" t="s">
        <v>9</v>
      </c>
      <c r="J66" t="s">
        <v>91</v>
      </c>
      <c r="K66" t="s">
        <v>54</v>
      </c>
      <c r="L66" t="s">
        <v>55</v>
      </c>
      <c r="M66" s="5" t="s">
        <v>149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150</v>
      </c>
      <c r="B67" s="1">
        <v>44549</v>
      </c>
      <c r="C67">
        <v>19</v>
      </c>
      <c r="D67" t="s">
        <v>52</v>
      </c>
      <c r="E67">
        <v>2021</v>
      </c>
      <c r="F67">
        <v>37</v>
      </c>
      <c r="G67" s="8" t="s">
        <v>17</v>
      </c>
      <c r="H67" t="s">
        <v>13</v>
      </c>
      <c r="I67" t="s">
        <v>9</v>
      </c>
      <c r="J67" t="s">
        <v>91</v>
      </c>
      <c r="K67" t="s">
        <v>54</v>
      </c>
      <c r="L67" t="s">
        <v>55</v>
      </c>
      <c r="M67" s="5" t="s">
        <v>67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151</v>
      </c>
      <c r="B68" s="1">
        <v>44549</v>
      </c>
      <c r="C68">
        <v>19</v>
      </c>
      <c r="D68" t="s">
        <v>52</v>
      </c>
      <c r="E68">
        <v>2021</v>
      </c>
      <c r="F68">
        <v>39</v>
      </c>
      <c r="G68" s="8" t="s">
        <v>17</v>
      </c>
      <c r="H68" t="s">
        <v>12</v>
      </c>
      <c r="I68" t="s">
        <v>9</v>
      </c>
      <c r="J68" t="s">
        <v>53</v>
      </c>
      <c r="K68" t="s">
        <v>54</v>
      </c>
      <c r="L68" t="s">
        <v>55</v>
      </c>
      <c r="M68" s="5" t="s">
        <v>56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152</v>
      </c>
      <c r="B69" s="1">
        <v>44549</v>
      </c>
      <c r="C69">
        <v>19</v>
      </c>
      <c r="D69" t="s">
        <v>52</v>
      </c>
      <c r="E69">
        <v>2021</v>
      </c>
      <c r="F69">
        <v>63</v>
      </c>
      <c r="G69" s="8" t="s">
        <v>17</v>
      </c>
      <c r="H69" t="s">
        <v>12</v>
      </c>
      <c r="I69" t="s">
        <v>4</v>
      </c>
      <c r="J69" t="s">
        <v>75</v>
      </c>
      <c r="K69" t="s">
        <v>54</v>
      </c>
      <c r="L69" t="s">
        <v>55</v>
      </c>
      <c r="M69" s="5" t="s">
        <v>56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153</v>
      </c>
      <c r="B70" s="1">
        <v>44549</v>
      </c>
      <c r="C70">
        <v>19</v>
      </c>
      <c r="D70" t="s">
        <v>52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154</v>
      </c>
      <c r="K70" t="s">
        <v>54</v>
      </c>
      <c r="L70" t="s">
        <v>55</v>
      </c>
      <c r="M70" s="5" t="s">
        <v>103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155</v>
      </c>
      <c r="B71" s="1">
        <v>44549</v>
      </c>
      <c r="C71">
        <v>19</v>
      </c>
      <c r="D71" t="s">
        <v>52</v>
      </c>
      <c r="E71">
        <v>2021</v>
      </c>
      <c r="F71">
        <v>56</v>
      </c>
      <c r="G71" s="8" t="s">
        <v>17</v>
      </c>
      <c r="H71" t="s">
        <v>12</v>
      </c>
      <c r="I71" t="s">
        <v>7</v>
      </c>
      <c r="J71" t="s">
        <v>156</v>
      </c>
      <c r="K71" t="s">
        <v>54</v>
      </c>
      <c r="L71" t="s">
        <v>55</v>
      </c>
      <c r="M71" s="5" t="s">
        <v>56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157</v>
      </c>
      <c r="B72" s="1">
        <v>44549</v>
      </c>
      <c r="C72">
        <v>19</v>
      </c>
      <c r="D72" t="s">
        <v>52</v>
      </c>
      <c r="E72">
        <v>2021</v>
      </c>
      <c r="F72">
        <v>39</v>
      </c>
      <c r="G72" s="8" t="s">
        <v>17</v>
      </c>
      <c r="H72" t="s">
        <v>12</v>
      </c>
      <c r="I72" t="s">
        <v>9</v>
      </c>
      <c r="J72" t="s">
        <v>69</v>
      </c>
      <c r="K72" t="s">
        <v>54</v>
      </c>
      <c r="L72" t="s">
        <v>55</v>
      </c>
      <c r="M72" s="5" t="s">
        <v>76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158</v>
      </c>
      <c r="B73" s="1">
        <v>44550</v>
      </c>
      <c r="C73">
        <v>20</v>
      </c>
      <c r="D73" t="s">
        <v>52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95</v>
      </c>
      <c r="K73" t="s">
        <v>54</v>
      </c>
      <c r="L73" t="s">
        <v>55</v>
      </c>
      <c r="M73" s="5" t="s">
        <v>96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159</v>
      </c>
      <c r="B74" s="1">
        <v>44550</v>
      </c>
      <c r="C74">
        <v>20</v>
      </c>
      <c r="D74" t="s">
        <v>52</v>
      </c>
      <c r="E74">
        <v>2021</v>
      </c>
      <c r="F74">
        <v>57</v>
      </c>
      <c r="G74" s="8" t="s">
        <v>17</v>
      </c>
      <c r="H74" t="s">
        <v>13</v>
      </c>
      <c r="I74" t="s">
        <v>4</v>
      </c>
      <c r="J74" t="s">
        <v>75</v>
      </c>
      <c r="K74" t="s">
        <v>54</v>
      </c>
      <c r="L74" t="s">
        <v>55</v>
      </c>
      <c r="M74" s="5" t="s">
        <v>56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160</v>
      </c>
      <c r="B75" s="1">
        <v>44550</v>
      </c>
      <c r="C75">
        <v>20</v>
      </c>
      <c r="D75" t="s">
        <v>52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80</v>
      </c>
      <c r="K75" t="s">
        <v>54</v>
      </c>
      <c r="L75" t="s">
        <v>55</v>
      </c>
      <c r="M75" s="5" t="s">
        <v>161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162</v>
      </c>
      <c r="B76" s="1">
        <v>44550</v>
      </c>
      <c r="C76">
        <v>20</v>
      </c>
      <c r="D76" t="s">
        <v>52</v>
      </c>
      <c r="E76">
        <v>2021</v>
      </c>
      <c r="F76">
        <v>35</v>
      </c>
      <c r="G76" s="8" t="s">
        <v>17</v>
      </c>
      <c r="H76" t="s">
        <v>12</v>
      </c>
      <c r="I76" t="s">
        <v>4</v>
      </c>
      <c r="J76" t="s">
        <v>75</v>
      </c>
      <c r="K76" t="s">
        <v>54</v>
      </c>
      <c r="L76" t="s">
        <v>55</v>
      </c>
      <c r="M76" s="5" t="s">
        <v>76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163</v>
      </c>
      <c r="B77" s="1">
        <v>44550</v>
      </c>
      <c r="C77">
        <v>20</v>
      </c>
      <c r="D77" t="s">
        <v>52</v>
      </c>
      <c r="E77">
        <v>2021</v>
      </c>
      <c r="F77">
        <v>35</v>
      </c>
      <c r="G77" s="8" t="s">
        <v>17</v>
      </c>
      <c r="H77" t="s">
        <v>13</v>
      </c>
      <c r="I77" t="s">
        <v>4</v>
      </c>
      <c r="J77" t="s">
        <v>95</v>
      </c>
      <c r="K77" t="s">
        <v>54</v>
      </c>
      <c r="L77" t="s">
        <v>55</v>
      </c>
      <c r="M77" s="5" t="s">
        <v>76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164</v>
      </c>
      <c r="B78" s="1">
        <v>44551</v>
      </c>
      <c r="C78">
        <v>21</v>
      </c>
      <c r="D78" t="s">
        <v>52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165</v>
      </c>
      <c r="K78" t="s">
        <v>54</v>
      </c>
      <c r="L78" t="s">
        <v>55</v>
      </c>
      <c r="M78" s="5" t="s">
        <v>76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166</v>
      </c>
      <c r="B79" s="1">
        <v>44551</v>
      </c>
      <c r="C79">
        <v>21</v>
      </c>
      <c r="D79" t="s">
        <v>52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58</v>
      </c>
      <c r="K79" t="s">
        <v>54</v>
      </c>
      <c r="L79" t="s">
        <v>55</v>
      </c>
      <c r="M79" s="5" t="s">
        <v>61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167</v>
      </c>
      <c r="B80" s="1">
        <v>44552</v>
      </c>
      <c r="C80">
        <v>22</v>
      </c>
      <c r="D80" t="s">
        <v>52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69</v>
      </c>
      <c r="K80" t="s">
        <v>54</v>
      </c>
      <c r="L80" t="s">
        <v>55</v>
      </c>
      <c r="M80" s="5" t="s">
        <v>76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168</v>
      </c>
      <c r="B81" s="1">
        <v>44552</v>
      </c>
      <c r="C81">
        <v>22</v>
      </c>
      <c r="D81" t="s">
        <v>52</v>
      </c>
      <c r="E81">
        <v>2021</v>
      </c>
      <c r="F81">
        <v>41</v>
      </c>
      <c r="G81" s="8" t="s">
        <v>17</v>
      </c>
      <c r="H81" t="s">
        <v>13</v>
      </c>
      <c r="I81" t="s">
        <v>9</v>
      </c>
      <c r="J81" t="s">
        <v>53</v>
      </c>
      <c r="K81" t="s">
        <v>54</v>
      </c>
      <c r="L81" t="s">
        <v>55</v>
      </c>
      <c r="M81" s="5" t="s">
        <v>82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169</v>
      </c>
      <c r="B82" s="1">
        <v>44552</v>
      </c>
      <c r="C82">
        <v>22</v>
      </c>
      <c r="D82" t="s">
        <v>52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63</v>
      </c>
      <c r="K82" t="s">
        <v>54</v>
      </c>
      <c r="L82" t="s">
        <v>55</v>
      </c>
      <c r="M82" s="5" t="s">
        <v>88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170</v>
      </c>
      <c r="B83" s="1">
        <v>44552</v>
      </c>
      <c r="C83">
        <v>22</v>
      </c>
      <c r="D83" t="s">
        <v>52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108</v>
      </c>
      <c r="K83" t="s">
        <v>54</v>
      </c>
      <c r="L83" t="s">
        <v>55</v>
      </c>
      <c r="M83" s="5" t="s">
        <v>67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171</v>
      </c>
      <c r="B84" s="1">
        <v>44552</v>
      </c>
      <c r="C84">
        <v>22</v>
      </c>
      <c r="D84" t="s">
        <v>52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80</v>
      </c>
      <c r="K84" t="s">
        <v>54</v>
      </c>
      <c r="L84" t="s">
        <v>55</v>
      </c>
      <c r="M84" s="5" t="s">
        <v>56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172</v>
      </c>
      <c r="B85" s="1">
        <v>44552</v>
      </c>
      <c r="C85">
        <v>22</v>
      </c>
      <c r="D85" t="s">
        <v>52</v>
      </c>
      <c r="E85">
        <v>2021</v>
      </c>
      <c r="F85">
        <v>41</v>
      </c>
      <c r="G85" s="8" t="s">
        <v>17</v>
      </c>
      <c r="H85" t="s">
        <v>13</v>
      </c>
      <c r="I85" t="s">
        <v>7</v>
      </c>
      <c r="J85" t="s">
        <v>156</v>
      </c>
      <c r="K85" t="s">
        <v>54</v>
      </c>
      <c r="L85" t="s">
        <v>55</v>
      </c>
      <c r="M85" s="5" t="s">
        <v>76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173</v>
      </c>
      <c r="B86" s="1">
        <v>44553</v>
      </c>
      <c r="C86">
        <v>23</v>
      </c>
      <c r="D86" t="s">
        <v>52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91</v>
      </c>
      <c r="K86" t="s">
        <v>54</v>
      </c>
      <c r="L86" t="s">
        <v>55</v>
      </c>
      <c r="M86" s="5" t="s">
        <v>59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174</v>
      </c>
      <c r="B87" s="1">
        <v>44553</v>
      </c>
      <c r="C87">
        <v>23</v>
      </c>
      <c r="D87" t="s">
        <v>52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80</v>
      </c>
      <c r="K87" t="s">
        <v>54</v>
      </c>
      <c r="L87" t="s">
        <v>55</v>
      </c>
      <c r="M87" s="5" t="s">
        <v>82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175</v>
      </c>
      <c r="B88" s="1">
        <v>44553</v>
      </c>
      <c r="C88">
        <v>23</v>
      </c>
      <c r="D88" t="s">
        <v>52</v>
      </c>
      <c r="E88">
        <v>2021</v>
      </c>
      <c r="F88">
        <v>35</v>
      </c>
      <c r="G88" s="8" t="s">
        <v>17</v>
      </c>
      <c r="H88" t="s">
        <v>12</v>
      </c>
      <c r="I88" t="s">
        <v>9</v>
      </c>
      <c r="J88" t="s">
        <v>53</v>
      </c>
      <c r="K88" t="s">
        <v>54</v>
      </c>
      <c r="L88" t="s">
        <v>55</v>
      </c>
      <c r="M88" s="5" t="s">
        <v>92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176</v>
      </c>
      <c r="B89" s="1">
        <v>44554</v>
      </c>
      <c r="C89">
        <v>24</v>
      </c>
      <c r="D89" t="s">
        <v>52</v>
      </c>
      <c r="E89">
        <v>2021</v>
      </c>
      <c r="F89">
        <v>38</v>
      </c>
      <c r="G89" s="8" t="s">
        <v>17</v>
      </c>
      <c r="H89" t="s">
        <v>13</v>
      </c>
      <c r="I89" t="s">
        <v>4</v>
      </c>
      <c r="J89" t="s">
        <v>75</v>
      </c>
      <c r="K89" t="s">
        <v>54</v>
      </c>
      <c r="L89" t="s">
        <v>55</v>
      </c>
      <c r="M89" s="5" t="s">
        <v>82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Jenny Guo</cp:lastModifiedBy>
  <cp:revision/>
  <dcterms:created xsi:type="dcterms:W3CDTF">2022-11-04T20:14:11Z</dcterms:created>
  <dcterms:modified xsi:type="dcterms:W3CDTF">2025-10-20T19:40:00Z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